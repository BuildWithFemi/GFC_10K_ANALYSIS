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ebayo Ayomide\Downloads\"/>
    </mc:Choice>
  </mc:AlternateContent>
  <xr:revisionPtr revIDLastSave="0" documentId="13_ncr:1_{DF2E480D-44C4-4C79-BE01-340061F58145}" xr6:coauthVersionLast="47" xr6:coauthVersionMax="47" xr10:uidLastSave="{00000000-0000-0000-0000-000000000000}"/>
  <bookViews>
    <workbookView xWindow="2355" yWindow="765" windowWidth="17655" windowHeight="9645" tabRatio="500" activeTab="1" xr2:uid="{00000000-000D-0000-FFFF-FFFF00000000}"/>
  </bookViews>
  <sheets>
    <sheet name="Instructions" sheetId="1" r:id="rId1"/>
    <sheet name="Raw Data" sheetId="2" r:id="rId2"/>
    <sheet name="Ratio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0" i="3" l="1"/>
  <c r="J10" i="3"/>
  <c r="I10" i="3"/>
  <c r="H10" i="3"/>
  <c r="G10" i="3"/>
  <c r="F10" i="3"/>
  <c r="E10" i="3"/>
  <c r="D10" i="3"/>
  <c r="C10" i="3"/>
  <c r="B10" i="3"/>
  <c r="A10" i="3"/>
  <c r="K9" i="3"/>
  <c r="J9" i="3"/>
  <c r="I9" i="3"/>
  <c r="H9" i="3"/>
  <c r="G9" i="3"/>
  <c r="F9" i="3"/>
  <c r="E9" i="3"/>
  <c r="D9" i="3"/>
  <c r="C9" i="3"/>
  <c r="B9" i="3"/>
  <c r="A9" i="3"/>
  <c r="K8" i="3"/>
  <c r="J8" i="3"/>
  <c r="I8" i="3"/>
  <c r="H8" i="3"/>
  <c r="G8" i="3"/>
  <c r="F8" i="3"/>
  <c r="E8" i="3"/>
  <c r="D8" i="3"/>
  <c r="C8" i="3"/>
  <c r="B8" i="3"/>
  <c r="A8" i="3"/>
  <c r="K7" i="3"/>
  <c r="J7" i="3"/>
  <c r="I7" i="3"/>
  <c r="H7" i="3"/>
  <c r="G7" i="3"/>
  <c r="F7" i="3"/>
  <c r="E7" i="3"/>
  <c r="D7" i="3"/>
  <c r="C7" i="3"/>
  <c r="B7" i="3"/>
  <c r="A7" i="3"/>
  <c r="K6" i="3"/>
  <c r="J6" i="3"/>
  <c r="I6" i="3"/>
  <c r="H6" i="3"/>
  <c r="G6" i="3"/>
  <c r="F6" i="3"/>
  <c r="E6" i="3"/>
  <c r="D6" i="3"/>
  <c r="C6" i="3"/>
  <c r="B6" i="3"/>
  <c r="A6" i="3"/>
  <c r="K5" i="3"/>
  <c r="J5" i="3"/>
  <c r="I5" i="3"/>
  <c r="H5" i="3"/>
  <c r="G5" i="3"/>
  <c r="F5" i="3"/>
  <c r="E5" i="3"/>
  <c r="D5" i="3"/>
  <c r="C5" i="3"/>
  <c r="B5" i="3"/>
  <c r="A5" i="3"/>
  <c r="K4" i="3"/>
  <c r="J4" i="3"/>
  <c r="I4" i="3"/>
  <c r="H4" i="3"/>
  <c r="G4" i="3"/>
  <c r="F4" i="3"/>
  <c r="E4" i="3"/>
  <c r="D4" i="3"/>
  <c r="C4" i="3"/>
  <c r="B4" i="3"/>
  <c r="A4" i="3"/>
  <c r="K3" i="3"/>
  <c r="J3" i="3"/>
  <c r="I3" i="3"/>
  <c r="H3" i="3"/>
  <c r="G3" i="3"/>
  <c r="F3" i="3"/>
  <c r="E3" i="3"/>
  <c r="D3" i="3"/>
  <c r="C3" i="3"/>
  <c r="B3" i="3"/>
  <c r="A3" i="3"/>
  <c r="K2" i="3"/>
  <c r="J2" i="3"/>
  <c r="I2" i="3"/>
  <c r="H2" i="3"/>
  <c r="G2" i="3"/>
  <c r="F2" i="3"/>
  <c r="E2" i="3"/>
  <c r="D2" i="3"/>
  <c r="C2" i="3"/>
  <c r="B2" i="3"/>
  <c r="A2" i="3"/>
</calcChain>
</file>

<file path=xl/sharedStrings.xml><?xml version="1.0" encoding="utf-8"?>
<sst xmlns="http://schemas.openxmlformats.org/spreadsheetml/2006/main" count="76" uniqueCount="63">
  <si>
    <t>Purpose</t>
  </si>
  <si>
    <t>This workbook holds cleaned, ratio-enriched financial data extracted from the 10-K filings</t>
  </si>
  <si>
    <t>of Microsoft, Tesla, and Apple (FY2023-FY2025). It feeds the AI chatbot's financial analysis.</t>
  </si>
  <si>
    <t>How to read this workbook</t>
  </si>
  <si>
    <t>- 'Raw Data' tab: one row per company-fiscal year. Blue text = figures pulled directly from</t>
  </si>
  <si>
    <t xml:space="preserve">   the 10-K (hardcoded inputs, with source noted in the last column). Black text = formulas.</t>
  </si>
  <si>
    <t>- 'Ratios' tab: pulls from Raw Data automatically and computes the full ratio set per row.</t>
  </si>
  <si>
    <t>Workflow to complete the remaining 8 company-years</t>
  </si>
  <si>
    <t>1. Open the 10-K on SEC EDGAR (Item 7 = MD&amp;A narrative, Item 8 = financial statements).</t>
  </si>
  <si>
    <t>2. Pull the figures listed in columns C through T of 'Raw Data' for that company/year.</t>
  </si>
  <si>
    <t>3. Paste them into the matching blue input cells - do not touch the black formula cells.</t>
  </si>
  <si>
    <t>4. Ratios and the Ratios tab recalculate automatically once the row is filled.</t>
  </si>
  <si>
    <t>5. Note the fiscal year-end dates differ: Apple ~late Sept, Microsoft ~June 30, Tesla ~Dec 31.</t>
  </si>
  <si>
    <t>Company</t>
  </si>
  <si>
    <t>FiscalYear</t>
  </si>
  <si>
    <t>Revenue ($mm)</t>
  </si>
  <si>
    <t>GrossProfit ($mm)</t>
  </si>
  <si>
    <t>R&amp;D Expense ($mm)</t>
  </si>
  <si>
    <t>SG&amp;A Expense ($mm)</t>
  </si>
  <si>
    <t>Total OpEx ($mm)</t>
  </si>
  <si>
    <t>Operating Income ($mm)</t>
  </si>
  <si>
    <t>Net Income ($mm)</t>
  </si>
  <si>
    <t>Diluted EPS ($)</t>
  </si>
  <si>
    <t>Cash &amp; Equivalents ($mm)</t>
  </si>
  <si>
    <t>Total Current Assets ($mm)</t>
  </si>
  <si>
    <t>Total Assets ($mm)</t>
  </si>
  <si>
    <t>Total Current Liabilities ($mm)</t>
  </si>
  <si>
    <t>Total Liabilities ($mm)</t>
  </si>
  <si>
    <t>Total Equity ($mm)</t>
  </si>
  <si>
    <t>Operating Cash Flow ($mm)</t>
  </si>
  <si>
    <t>CapEx ($mm)</t>
  </si>
  <si>
    <t>Prior Yr Revenue ($mm)</t>
  </si>
  <si>
    <t>Source / Notes</t>
  </si>
  <si>
    <t>Apple</t>
  </si>
  <si>
    <t>FY2023</t>
  </si>
  <si>
    <t>Apple FY2023 10-K (SEC EDGAR, filed 2023-11-03), Items 7 &amp; 8</t>
  </si>
  <si>
    <t>FY2024</t>
  </si>
  <si>
    <t>FY2025</t>
  </si>
  <si>
    <t>Microsoft</t>
  </si>
  <si>
    <t>Tesla</t>
  </si>
  <si>
    <t>Gross Margin %</t>
  </si>
  <si>
    <t>Operating Margin %</t>
  </si>
  <si>
    <t>Net Margin %</t>
  </si>
  <si>
    <t>ROE %</t>
  </si>
  <si>
    <t>ROA %</t>
  </si>
  <si>
    <t>Current Ratio</t>
  </si>
  <si>
    <t>Debt-to-Equity</t>
  </si>
  <si>
    <t>Free Cash Flow ($mm)</t>
  </si>
  <si>
    <t>Revenue Growth % (YoY)</t>
  </si>
  <si>
    <t>All ratios computed via formula from 'Raw Data'. Blank until that row's inputs are filled in.</t>
  </si>
  <si>
    <t>Reporting Date</t>
  </si>
  <si>
    <t xml:space="preserve">FiscalYear </t>
  </si>
  <si>
    <t>TODO: fill from 10-K (SEC EDGAR, filed 2024-01-29, Items 7 &amp; 8</t>
  </si>
  <si>
    <t>TODO: fill from 10-K (SEC EDGAR, filed 2025-01-30, Items 7 &amp; 8</t>
  </si>
  <si>
    <t>TODO: fill from 10-K (SEC EDGAR, filed 2026-01-29, Items 7 &amp; 8</t>
  </si>
  <si>
    <t>TODO: fill from 10-K (SEC EDGAR, filed 2024-08-0)2, Items 7 &amp; 8</t>
  </si>
  <si>
    <t>TODO: fill from 10-K (SEC EDGAR, filed 2025-10-31), Items 7 &amp; 8</t>
  </si>
  <si>
    <t>TODO: fill from 10-K (SEC EDGAR, filed 2023-07-27), Items 7 &amp; 8</t>
  </si>
  <si>
    <t xml:space="preserve">TODO: fill from 10-K (SEC EDGAR, filed 2027-07-30), Items 7 &amp; 8 </t>
  </si>
  <si>
    <t>TODO: fill from 10-K (SEC EDGAR, filed 2025-07-30), Items 7 &amp; 8</t>
  </si>
  <si>
    <t>GFC (Global Finance Corps)  10-K Data Extraction &amp; Analysis Workbook</t>
  </si>
  <si>
    <t>Companies &amp; years</t>
  </si>
  <si>
    <t>Apple: FY2023, FY2024, FY2025  |  Microsoft: FY2023, FY2024, FY2025  |  Tesla: FY2023, FY2024, FY2025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</si>
</sst>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&quot;($&quot;#,##0\);\-"/>
    <numFmt numFmtId="165" formatCode="0.0%"/>
    <numFmt numFmtId="166" formatCode="0.00\x"/>
    <numFmt numFmtId="167" formatCode="yyyy\-mm\-dd;@"/>
    <numFmt numFmtId="168" formatCode="&quot;$&quot;#,##0"/>
  </numFmts>
  <fonts count="10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sz val="10"/>
      <color rgb="FF000000"/>
      <name val="Arial"/>
      <charset val="1"/>
    </font>
    <font>
      <b/>
      <sz val="12"/>
      <color rgb="FF1F4E78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i/>
      <sz val="9"/>
      <color rgb="FF808080"/>
      <name val="Arial"/>
      <charset val="1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0" xfId="0" applyFont="1"/>
    <xf numFmtId="165" fontId="2" fillId="0" borderId="1" xfId="0" applyNumberFormat="1" applyFont="1" applyBorder="1"/>
    <xf numFmtId="2" fontId="2" fillId="0" borderId="1" xfId="0" applyNumberFormat="1" applyFont="1" applyBorder="1"/>
    <xf numFmtId="166" fontId="2" fillId="0" borderId="1" xfId="0" applyNumberFormat="1" applyFont="1" applyBorder="1"/>
    <xf numFmtId="164" fontId="2" fillId="0" borderId="1" xfId="0" applyNumberFormat="1" applyFont="1" applyBorder="1"/>
    <xf numFmtId="0" fontId="6" fillId="0" borderId="0" xfId="0" applyFont="1"/>
    <xf numFmtId="167" fontId="4" fillId="2" borderId="1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0" fontId="5" fillId="0" borderId="1" xfId="0" applyFont="1" applyFill="1" applyBorder="1"/>
    <xf numFmtId="0" fontId="2" fillId="0" borderId="1" xfId="0" applyFont="1" applyFill="1" applyBorder="1"/>
    <xf numFmtId="167" fontId="2" fillId="0" borderId="1" xfId="0" applyNumberFormat="1" applyFont="1" applyFill="1" applyBorder="1"/>
    <xf numFmtId="0" fontId="0" fillId="0" borderId="0" xfId="0" applyFill="1"/>
    <xf numFmtId="168" fontId="2" fillId="0" borderId="1" xfId="0" applyNumberFormat="1" applyFont="1" applyFill="1" applyBorder="1"/>
    <xf numFmtId="0" fontId="7" fillId="0" borderId="1" xfId="0" applyFont="1" applyBorder="1"/>
    <xf numFmtId="167" fontId="7" fillId="0" borderId="1" xfId="0" applyNumberFormat="1" applyFont="1" applyBorder="1"/>
    <xf numFmtId="3" fontId="4" fillId="2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168" fontId="7" fillId="0" borderId="1" xfId="0" applyNumberFormat="1" applyFont="1" applyBorder="1"/>
    <xf numFmtId="168" fontId="8" fillId="0" borderId="1" xfId="0" applyNumberFormat="1" applyFont="1" applyFill="1" applyBorder="1" applyAlignment="1">
      <alignment wrapText="1"/>
    </xf>
    <xf numFmtId="3" fontId="9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/>
    <xf numFmtId="168" fontId="2" fillId="0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showGridLines="0" topLeftCell="A11" zoomScale="99" zoomScaleNormal="100" workbookViewId="0">
      <selection activeCell="A22" sqref="A22"/>
    </sheetView>
  </sheetViews>
  <sheetFormatPr defaultColWidth="8.7109375" defaultRowHeight="15" x14ac:dyDescent="0.25"/>
  <cols>
    <col min="1" max="1" width="100" customWidth="1"/>
  </cols>
  <sheetData>
    <row r="1" spans="1:1" ht="18" x14ac:dyDescent="0.25">
      <c r="A1" s="1" t="s">
        <v>60</v>
      </c>
    </row>
    <row r="2" spans="1:1" x14ac:dyDescent="0.25">
      <c r="A2" s="2"/>
    </row>
    <row r="3" spans="1:1" ht="15.75" x14ac:dyDescent="0.25">
      <c r="A3" s="3" t="s">
        <v>0</v>
      </c>
    </row>
    <row r="4" spans="1:1" x14ac:dyDescent="0.25">
      <c r="A4" s="2" t="s">
        <v>1</v>
      </c>
    </row>
    <row r="5" spans="1:1" x14ac:dyDescent="0.25">
      <c r="A5" s="2" t="s">
        <v>2</v>
      </c>
    </row>
    <row r="6" spans="1:1" x14ac:dyDescent="0.25">
      <c r="A6" s="2"/>
    </row>
    <row r="7" spans="1:1" ht="15.75" x14ac:dyDescent="0.25">
      <c r="A7" s="3" t="s">
        <v>3</v>
      </c>
    </row>
    <row r="8" spans="1:1" x14ac:dyDescent="0.25">
      <c r="A8" s="2" t="s">
        <v>4</v>
      </c>
    </row>
    <row r="9" spans="1:1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/>
    </row>
    <row r="12" spans="1:1" ht="15.75" x14ac:dyDescent="0.25">
      <c r="A12" s="3" t="s">
        <v>7</v>
      </c>
    </row>
    <row r="13" spans="1:1" x14ac:dyDescent="0.25">
      <c r="A13" s="2" t="s">
        <v>8</v>
      </c>
    </row>
    <row r="14" spans="1:1" x14ac:dyDescent="0.25">
      <c r="A14" s="2" t="s">
        <v>9</v>
      </c>
    </row>
    <row r="15" spans="1:1" x14ac:dyDescent="0.25">
      <c r="A15" s="2" t="s">
        <v>10</v>
      </c>
    </row>
    <row r="16" spans="1:1" x14ac:dyDescent="0.25">
      <c r="A16" s="2" t="s">
        <v>11</v>
      </c>
    </row>
    <row r="17" spans="1:1" x14ac:dyDescent="0.25">
      <c r="A17" s="2" t="s">
        <v>12</v>
      </c>
    </row>
    <row r="19" spans="1:1" ht="15.75" x14ac:dyDescent="0.25">
      <c r="A19" s="3" t="s">
        <v>61</v>
      </c>
    </row>
    <row r="20" spans="1:1" x14ac:dyDescent="0.25">
      <c r="A20" s="2" t="s">
        <v>62</v>
      </c>
    </row>
    <row r="21" spans="1:1" x14ac:dyDescent="0.25">
      <c r="A21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"/>
  <sheetViews>
    <sheetView showGridLines="0" tabSelected="1" zoomScaleNormal="100" workbookViewId="0">
      <pane xSplit="3" ySplit="1" topLeftCell="G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8.7109375" defaultRowHeight="15" x14ac:dyDescent="0.25"/>
  <cols>
    <col min="1" max="1" width="11" customWidth="1"/>
    <col min="2" max="2" width="10" customWidth="1"/>
    <col min="3" max="3" width="13" style="13" customWidth="1"/>
    <col min="4" max="4" width="13" style="22" customWidth="1"/>
    <col min="5" max="5" width="14" style="22" customWidth="1"/>
    <col min="6" max="7" width="13" style="22" customWidth="1"/>
    <col min="8" max="8" width="12" style="22" customWidth="1"/>
    <col min="9" max="9" width="15" style="22" customWidth="1"/>
    <col min="10" max="10" width="12" style="22" customWidth="1"/>
    <col min="11" max="11" width="11" style="22" customWidth="1"/>
    <col min="12" max="12" width="14" style="22" customWidth="1"/>
    <col min="13" max="13" width="15" style="22" customWidth="1"/>
    <col min="14" max="14" width="12" style="22" customWidth="1"/>
    <col min="15" max="15" width="17" style="22" customWidth="1"/>
    <col min="16" max="16" width="14" style="22" customWidth="1"/>
    <col min="17" max="17" width="12" style="22" customWidth="1"/>
    <col min="18" max="18" width="16" style="22" customWidth="1"/>
    <col min="19" max="19" width="11" style="22" customWidth="1"/>
    <col min="20" max="20" width="15" style="22" customWidth="1"/>
    <col min="21" max="21" width="57.28515625" bestFit="1" customWidth="1"/>
  </cols>
  <sheetData>
    <row r="1" spans="1:21" ht="38.25" x14ac:dyDescent="0.25">
      <c r="A1" s="4" t="s">
        <v>13</v>
      </c>
      <c r="B1" s="4" t="s">
        <v>51</v>
      </c>
      <c r="C1" s="12" t="s">
        <v>50</v>
      </c>
      <c r="D1" s="21" t="s">
        <v>15</v>
      </c>
      <c r="E1" s="21" t="s">
        <v>16</v>
      </c>
      <c r="F1" s="21" t="s">
        <v>17</v>
      </c>
      <c r="G1" s="21" t="s">
        <v>18</v>
      </c>
      <c r="H1" s="21" t="s">
        <v>19</v>
      </c>
      <c r="I1" s="21" t="s">
        <v>20</v>
      </c>
      <c r="J1" s="21" t="s">
        <v>21</v>
      </c>
      <c r="K1" s="21" t="s">
        <v>22</v>
      </c>
      <c r="L1" s="21" t="s">
        <v>23</v>
      </c>
      <c r="M1" s="21" t="s">
        <v>24</v>
      </c>
      <c r="N1" s="21" t="s">
        <v>25</v>
      </c>
      <c r="O1" s="21" t="s">
        <v>26</v>
      </c>
      <c r="P1" s="21" t="s">
        <v>27</v>
      </c>
      <c r="Q1" s="21" t="s">
        <v>28</v>
      </c>
      <c r="R1" s="25" t="s">
        <v>29</v>
      </c>
      <c r="S1" s="21" t="s">
        <v>30</v>
      </c>
      <c r="T1" s="21" t="s">
        <v>31</v>
      </c>
      <c r="U1" s="4" t="s">
        <v>32</v>
      </c>
    </row>
    <row r="2" spans="1:21" x14ac:dyDescent="0.25">
      <c r="A2" s="5" t="s">
        <v>33</v>
      </c>
      <c r="B2" s="19" t="s">
        <v>34</v>
      </c>
      <c r="C2" s="20">
        <v>45199</v>
      </c>
      <c r="D2" s="23">
        <v>383285</v>
      </c>
      <c r="E2" s="23">
        <v>169148</v>
      </c>
      <c r="F2" s="23">
        <v>29915</v>
      </c>
      <c r="G2" s="23">
        <v>24932</v>
      </c>
      <c r="H2" s="23">
        <v>54847</v>
      </c>
      <c r="I2" s="23">
        <v>114301</v>
      </c>
      <c r="J2" s="23">
        <v>96995</v>
      </c>
      <c r="K2" s="23">
        <v>6.13</v>
      </c>
      <c r="L2" s="23">
        <v>29965</v>
      </c>
      <c r="M2" s="23">
        <v>143566</v>
      </c>
      <c r="N2" s="23">
        <v>352583</v>
      </c>
      <c r="O2" s="23">
        <v>145308</v>
      </c>
      <c r="P2" s="23">
        <v>290437</v>
      </c>
      <c r="Q2" s="23">
        <v>62146</v>
      </c>
      <c r="R2" s="23">
        <v>110543</v>
      </c>
      <c r="S2" s="23">
        <v>10959</v>
      </c>
      <c r="T2" s="23">
        <v>394328</v>
      </c>
      <c r="U2" s="19" t="s">
        <v>35</v>
      </c>
    </row>
    <row r="3" spans="1:21" s="17" customFormat="1" x14ac:dyDescent="0.25">
      <c r="A3" s="14" t="s">
        <v>33</v>
      </c>
      <c r="B3" s="15" t="s">
        <v>36</v>
      </c>
      <c r="C3" s="16">
        <v>45563</v>
      </c>
      <c r="D3" s="18">
        <v>391035</v>
      </c>
      <c r="E3" s="18">
        <v>180683</v>
      </c>
      <c r="F3" s="18">
        <v>31370</v>
      </c>
      <c r="G3" s="18">
        <v>26097</v>
      </c>
      <c r="H3" s="18">
        <v>57467</v>
      </c>
      <c r="I3" s="18">
        <v>123216</v>
      </c>
      <c r="J3" s="18">
        <v>93736</v>
      </c>
      <c r="K3" s="18">
        <v>6.08</v>
      </c>
      <c r="L3" s="18">
        <v>29943</v>
      </c>
      <c r="M3" s="18">
        <v>152987</v>
      </c>
      <c r="N3" s="18">
        <v>364980</v>
      </c>
      <c r="O3" s="18">
        <v>176392</v>
      </c>
      <c r="P3" s="18">
        <v>308030</v>
      </c>
      <c r="Q3" s="18">
        <v>56950</v>
      </c>
      <c r="R3" s="18">
        <v>118254</v>
      </c>
      <c r="S3" s="18">
        <v>9447</v>
      </c>
      <c r="T3" s="18">
        <v>383285</v>
      </c>
      <c r="U3" s="15" t="s">
        <v>55</v>
      </c>
    </row>
    <row r="4" spans="1:21" s="17" customFormat="1" x14ac:dyDescent="0.25">
      <c r="A4" s="14" t="s">
        <v>33</v>
      </c>
      <c r="B4" s="15" t="s">
        <v>37</v>
      </c>
      <c r="C4" s="16">
        <v>45927</v>
      </c>
      <c r="D4" s="18">
        <v>416161</v>
      </c>
      <c r="E4" s="18">
        <v>195201</v>
      </c>
      <c r="F4" s="18">
        <v>34550</v>
      </c>
      <c r="G4" s="18">
        <v>27601</v>
      </c>
      <c r="H4" s="18">
        <v>62151</v>
      </c>
      <c r="I4" s="18">
        <v>133050</v>
      </c>
      <c r="J4" s="18">
        <v>112010</v>
      </c>
      <c r="K4" s="18">
        <v>7.46</v>
      </c>
      <c r="L4" s="18">
        <v>35934</v>
      </c>
      <c r="M4" s="18">
        <v>147957</v>
      </c>
      <c r="N4" s="18">
        <v>359241</v>
      </c>
      <c r="O4" s="18">
        <v>165631</v>
      </c>
      <c r="P4" s="18">
        <v>285508</v>
      </c>
      <c r="Q4" s="18">
        <v>73733</v>
      </c>
      <c r="R4" s="18">
        <v>111482</v>
      </c>
      <c r="S4" s="18">
        <v>12715</v>
      </c>
      <c r="T4" s="18">
        <v>391035</v>
      </c>
      <c r="U4" s="15" t="s">
        <v>56</v>
      </c>
    </row>
    <row r="5" spans="1:21" s="17" customFormat="1" x14ac:dyDescent="0.25">
      <c r="A5" s="14" t="s">
        <v>38</v>
      </c>
      <c r="B5" s="15" t="s">
        <v>34</v>
      </c>
      <c r="C5" s="16">
        <v>45107</v>
      </c>
      <c r="D5" s="18">
        <v>211915</v>
      </c>
      <c r="E5" s="24">
        <v>146052</v>
      </c>
      <c r="F5" s="24">
        <v>27195</v>
      </c>
      <c r="G5" s="18">
        <v>30334</v>
      </c>
      <c r="H5" s="18">
        <v>57529</v>
      </c>
      <c r="I5" s="18">
        <v>88523</v>
      </c>
      <c r="J5" s="18">
        <v>72361</v>
      </c>
      <c r="K5" s="18">
        <v>9.68</v>
      </c>
      <c r="L5" s="18">
        <v>34704</v>
      </c>
      <c r="M5" s="18">
        <v>184257</v>
      </c>
      <c r="N5" s="18">
        <v>411976</v>
      </c>
      <c r="O5" s="18">
        <v>104149</v>
      </c>
      <c r="P5" s="18">
        <v>205753</v>
      </c>
      <c r="Q5" s="18">
        <v>206223</v>
      </c>
      <c r="R5" s="24">
        <v>87582</v>
      </c>
      <c r="S5" s="18">
        <v>28107</v>
      </c>
      <c r="T5" s="24">
        <v>198270</v>
      </c>
      <c r="U5" s="26" t="s">
        <v>57</v>
      </c>
    </row>
    <row r="6" spans="1:21" s="17" customFormat="1" x14ac:dyDescent="0.25">
      <c r="A6" s="14" t="s">
        <v>38</v>
      </c>
      <c r="B6" s="15" t="s">
        <v>36</v>
      </c>
      <c r="C6" s="16">
        <v>45473</v>
      </c>
      <c r="D6" s="27">
        <v>245122</v>
      </c>
      <c r="E6" s="18">
        <v>171008</v>
      </c>
      <c r="F6" s="18">
        <v>29510</v>
      </c>
      <c r="G6" s="18">
        <v>31525</v>
      </c>
      <c r="H6" s="18">
        <v>61035</v>
      </c>
      <c r="I6" s="27">
        <v>109433</v>
      </c>
      <c r="J6" s="18">
        <v>88136</v>
      </c>
      <c r="K6" s="18">
        <v>12</v>
      </c>
      <c r="L6" s="18">
        <v>18315</v>
      </c>
      <c r="M6" s="18">
        <v>159734</v>
      </c>
      <c r="N6" s="18">
        <v>512163</v>
      </c>
      <c r="O6" s="18">
        <v>125286</v>
      </c>
      <c r="P6" s="18">
        <v>243686</v>
      </c>
      <c r="Q6" s="18">
        <v>268477</v>
      </c>
      <c r="R6" s="18">
        <v>118548</v>
      </c>
      <c r="S6" s="18">
        <v>44477</v>
      </c>
      <c r="T6" s="18">
        <v>211915</v>
      </c>
      <c r="U6" s="15" t="s">
        <v>58</v>
      </c>
    </row>
    <row r="7" spans="1:21" s="17" customFormat="1" x14ac:dyDescent="0.25">
      <c r="A7" s="14" t="s">
        <v>38</v>
      </c>
      <c r="B7" s="15" t="s">
        <v>37</v>
      </c>
      <c r="C7" s="16">
        <v>45838</v>
      </c>
      <c r="D7" s="18">
        <v>281724</v>
      </c>
      <c r="E7" s="18">
        <v>193893</v>
      </c>
      <c r="F7" s="18">
        <v>32488</v>
      </c>
      <c r="G7" s="18">
        <v>32877</v>
      </c>
      <c r="H7" s="18">
        <v>65365</v>
      </c>
      <c r="I7" s="18">
        <v>128528</v>
      </c>
      <c r="J7" s="18">
        <v>101832</v>
      </c>
      <c r="K7" s="18">
        <v>14</v>
      </c>
      <c r="L7" s="18">
        <v>30242</v>
      </c>
      <c r="M7" s="18">
        <v>191131</v>
      </c>
      <c r="N7" s="18">
        <v>619003</v>
      </c>
      <c r="O7" s="18">
        <v>141218</v>
      </c>
      <c r="P7" s="18">
        <v>275524</v>
      </c>
      <c r="Q7" s="18">
        <v>343479</v>
      </c>
      <c r="R7" s="18">
        <v>136162</v>
      </c>
      <c r="S7" s="18">
        <v>64551</v>
      </c>
      <c r="T7" s="18">
        <v>245122</v>
      </c>
      <c r="U7" s="15" t="s">
        <v>59</v>
      </c>
    </row>
    <row r="8" spans="1:21" s="17" customFormat="1" x14ac:dyDescent="0.25">
      <c r="A8" s="14" t="s">
        <v>39</v>
      </c>
      <c r="B8" s="15" t="s">
        <v>34</v>
      </c>
      <c r="C8" s="16">
        <v>45291</v>
      </c>
      <c r="D8" s="18">
        <v>96773</v>
      </c>
      <c r="E8" s="18">
        <v>17660</v>
      </c>
      <c r="F8" s="18">
        <v>3969</v>
      </c>
      <c r="G8" s="18">
        <v>4800</v>
      </c>
      <c r="H8" s="18">
        <v>8769</v>
      </c>
      <c r="I8" s="18">
        <v>8891</v>
      </c>
      <c r="J8" s="18">
        <v>14974</v>
      </c>
      <c r="K8" s="18">
        <v>4.3</v>
      </c>
      <c r="L8" s="18">
        <v>16398</v>
      </c>
      <c r="M8" s="18">
        <v>49616</v>
      </c>
      <c r="N8" s="18">
        <v>106618</v>
      </c>
      <c r="O8" s="18">
        <v>28748</v>
      </c>
      <c r="P8" s="18">
        <v>43009</v>
      </c>
      <c r="Q8" s="18">
        <v>62634</v>
      </c>
      <c r="R8" s="18">
        <v>13256</v>
      </c>
      <c r="S8" s="18">
        <v>8898</v>
      </c>
      <c r="T8" s="18">
        <v>81462</v>
      </c>
      <c r="U8" s="15" t="s">
        <v>52</v>
      </c>
    </row>
    <row r="9" spans="1:21" s="17" customFormat="1" x14ac:dyDescent="0.25">
      <c r="A9" s="14" t="s">
        <v>39</v>
      </c>
      <c r="B9" s="15" t="s">
        <v>36</v>
      </c>
      <c r="C9" s="16">
        <v>45657</v>
      </c>
      <c r="D9" s="18">
        <v>97690</v>
      </c>
      <c r="E9" s="18">
        <v>17450</v>
      </c>
      <c r="F9" s="18">
        <v>4540</v>
      </c>
      <c r="G9" s="18">
        <v>5150</v>
      </c>
      <c r="H9" s="18">
        <v>10374</v>
      </c>
      <c r="I9" s="18">
        <v>7076</v>
      </c>
      <c r="J9" s="18">
        <v>7153</v>
      </c>
      <c r="K9" s="18">
        <v>2.04</v>
      </c>
      <c r="L9" s="18">
        <v>16139</v>
      </c>
      <c r="M9" s="18">
        <v>58360</v>
      </c>
      <c r="N9" s="18">
        <v>122070</v>
      </c>
      <c r="O9" s="18">
        <v>28821</v>
      </c>
      <c r="P9" s="18">
        <v>48390</v>
      </c>
      <c r="Q9" s="18">
        <v>72913</v>
      </c>
      <c r="R9" s="18">
        <v>14923</v>
      </c>
      <c r="S9" s="18">
        <v>11342</v>
      </c>
      <c r="T9" s="18">
        <v>96773</v>
      </c>
      <c r="U9" s="15" t="s">
        <v>53</v>
      </c>
    </row>
    <row r="10" spans="1:21" s="17" customFormat="1" x14ac:dyDescent="0.25">
      <c r="A10" s="14" t="s">
        <v>39</v>
      </c>
      <c r="B10" s="15" t="s">
        <v>37</v>
      </c>
      <c r="C10" s="16">
        <v>46022</v>
      </c>
      <c r="D10" s="18">
        <v>94827</v>
      </c>
      <c r="E10" s="18">
        <v>17094</v>
      </c>
      <c r="F10" s="18">
        <v>6411</v>
      </c>
      <c r="G10" s="18">
        <v>5834</v>
      </c>
      <c r="H10" s="18">
        <v>12739</v>
      </c>
      <c r="I10" s="18">
        <v>4355</v>
      </c>
      <c r="J10" s="18">
        <v>3855</v>
      </c>
      <c r="K10" s="18">
        <v>1.08</v>
      </c>
      <c r="L10" s="18">
        <v>16513</v>
      </c>
      <c r="M10" s="18">
        <v>68642</v>
      </c>
      <c r="N10" s="18">
        <v>137806</v>
      </c>
      <c r="O10" s="18">
        <v>31714</v>
      </c>
      <c r="P10" s="18">
        <v>54941</v>
      </c>
      <c r="Q10" s="18">
        <v>82137</v>
      </c>
      <c r="R10" s="18">
        <v>14747</v>
      </c>
      <c r="S10" s="18">
        <v>8527</v>
      </c>
      <c r="T10" s="18">
        <v>97690</v>
      </c>
      <c r="U10" s="15" t="s">
        <v>54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" sqref="K2"/>
    </sheetView>
  </sheetViews>
  <sheetFormatPr defaultColWidth="8.7109375" defaultRowHeight="15" x14ac:dyDescent="0.25"/>
  <cols>
    <col min="1" max="1" width="11" customWidth="1"/>
    <col min="2" max="2" width="10" customWidth="1"/>
    <col min="3" max="3" width="13" customWidth="1"/>
    <col min="4" max="4" width="15" customWidth="1"/>
    <col min="5" max="5" width="12" customWidth="1"/>
    <col min="6" max="7" width="10" customWidth="1"/>
    <col min="8" max="8" width="12" customWidth="1"/>
    <col min="9" max="9" width="13" customWidth="1"/>
    <col min="10" max="10" width="16" customWidth="1"/>
    <col min="11" max="11" width="17" customWidth="1"/>
  </cols>
  <sheetData>
    <row r="1" spans="1:11" ht="25.5" x14ac:dyDescent="0.25">
      <c r="A1" s="4" t="s">
        <v>13</v>
      </c>
      <c r="B1" s="4" t="s">
        <v>14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  <c r="K1" s="4" t="s">
        <v>48</v>
      </c>
    </row>
    <row r="2" spans="1:11" x14ac:dyDescent="0.25">
      <c r="A2" s="6" t="str">
        <f>'Raw Data'!A2</f>
        <v>Apple</v>
      </c>
      <c r="B2" s="2" t="str">
        <f>'Raw Data'!B2</f>
        <v>FY2023</v>
      </c>
      <c r="C2" s="7">
        <f>IFERROR('Raw Data'!E2/'Raw Data'!D2,"")</f>
        <v>0.44131129577207562</v>
      </c>
      <c r="D2" s="7">
        <f>IFERROR('Raw Data'!I2/'Raw Data'!D2,"")</f>
        <v>0.29821412265024722</v>
      </c>
      <c r="E2" s="7">
        <f>IFERROR('Raw Data'!J2/'Raw Data'!D2,"")</f>
        <v>0.25306234264320282</v>
      </c>
      <c r="F2" s="7">
        <f>IFERROR('Raw Data'!J2/'Raw Data'!Q2,"")</f>
        <v>1.5607601454639075</v>
      </c>
      <c r="G2" s="7">
        <f>IFERROR('Raw Data'!J2/'Raw Data'!N2,"")</f>
        <v>0.27509834563776475</v>
      </c>
      <c r="H2" s="8">
        <f>IFERROR('Raw Data'!M2/'Raw Data'!O2,"")</f>
        <v>0.98801167175929749</v>
      </c>
      <c r="I2" s="9">
        <f>IFERROR('Raw Data'!P2/'Raw Data'!Q2,"")</f>
        <v>4.6734624915521517</v>
      </c>
      <c r="J2" s="10">
        <f>IFERROR('Raw Data'!R2-'Raw Data'!S2,"")</f>
        <v>99584</v>
      </c>
      <c r="K2" s="7">
        <f>IFERROR(('Raw Data'!D2-'Raw Data'!T2)/'Raw Data'!T2,"")</f>
        <v>-2.8004605303199367E-2</v>
      </c>
    </row>
    <row r="3" spans="1:11" x14ac:dyDescent="0.25">
      <c r="A3" s="6" t="str">
        <f>'Raw Data'!A3</f>
        <v>Apple</v>
      </c>
      <c r="B3" s="2" t="str">
        <f>'Raw Data'!B3</f>
        <v>FY2024</v>
      </c>
      <c r="C3" s="7">
        <f>IFERROR('Raw Data'!E3/'Raw Data'!D3,"")</f>
        <v>0.46206349815233932</v>
      </c>
      <c r="D3" s="7">
        <f>IFERROR('Raw Data'!I3/'Raw Data'!D3,"")</f>
        <v>0.31510222870075566</v>
      </c>
      <c r="E3" s="7">
        <f>IFERROR('Raw Data'!J3/'Raw Data'!D3,"")</f>
        <v>0.23971255769943867</v>
      </c>
      <c r="F3" s="7">
        <f>IFERROR('Raw Data'!J3/'Raw Data'!Q3,"")</f>
        <v>1.6459350307287095</v>
      </c>
      <c r="G3" s="7">
        <f>IFERROR('Raw Data'!J3/'Raw Data'!N3,"")</f>
        <v>0.25682503150857583</v>
      </c>
      <c r="H3" s="8">
        <f>IFERROR('Raw Data'!M3/'Raw Data'!O3,"")</f>
        <v>0.86731257653408322</v>
      </c>
      <c r="I3" s="9">
        <f>IFERROR('Raw Data'!P3/'Raw Data'!Q3,"")</f>
        <v>5.408779631255487</v>
      </c>
      <c r="J3" s="10">
        <f>IFERROR('Raw Data'!R3-'Raw Data'!S3,"")</f>
        <v>108807</v>
      </c>
      <c r="K3" s="7">
        <f>IFERROR(('Raw Data'!D3-'Raw Data'!T3)/'Raw Data'!T3,"")</f>
        <v>2.0219940775141214E-2</v>
      </c>
    </row>
    <row r="4" spans="1:11" x14ac:dyDescent="0.25">
      <c r="A4" s="6" t="str">
        <f>'Raw Data'!A4</f>
        <v>Apple</v>
      </c>
      <c r="B4" s="2" t="str">
        <f>'Raw Data'!B4</f>
        <v>FY2025</v>
      </c>
      <c r="C4" s="7">
        <f>IFERROR('Raw Data'!E4/'Raw Data'!D4,"")</f>
        <v>0.46905164107160452</v>
      </c>
      <c r="D4" s="7">
        <f>IFERROR('Raw Data'!I4/'Raw Data'!D4,"")</f>
        <v>0.31970799762591884</v>
      </c>
      <c r="E4" s="7">
        <f>IFERROR('Raw Data'!J4/'Raw Data'!D4,"")</f>
        <v>0.26915064121818238</v>
      </c>
      <c r="F4" s="7">
        <f>IFERROR('Raw Data'!J4/'Raw Data'!Q4,"")</f>
        <v>1.5191298333175105</v>
      </c>
      <c r="G4" s="7">
        <f>IFERROR('Raw Data'!J4/'Raw Data'!N4,"")</f>
        <v>0.31179625933565491</v>
      </c>
      <c r="H4" s="8">
        <f>IFERROR('Raw Data'!M4/'Raw Data'!O4,"")</f>
        <v>0.89329292221866674</v>
      </c>
      <c r="I4" s="9">
        <f>IFERROR('Raw Data'!P4/'Raw Data'!Q4,"")</f>
        <v>3.8721874872852049</v>
      </c>
      <c r="J4" s="10">
        <f>IFERROR('Raw Data'!R4-'Raw Data'!S4,"")</f>
        <v>98767</v>
      </c>
      <c r="K4" s="7">
        <f>IFERROR(('Raw Data'!D4-'Raw Data'!T4)/'Raw Data'!T4,"")</f>
        <v>6.4255117828327393E-2</v>
      </c>
    </row>
    <row r="5" spans="1:11" x14ac:dyDescent="0.25">
      <c r="A5" s="6" t="str">
        <f>'Raw Data'!A5</f>
        <v>Microsoft</v>
      </c>
      <c r="B5" s="2" t="str">
        <f>'Raw Data'!B5</f>
        <v>FY2023</v>
      </c>
      <c r="C5" s="7">
        <f>IFERROR('Raw Data'!E5/'Raw Data'!D5,"")</f>
        <v>0.68920085883491022</v>
      </c>
      <c r="D5" s="7">
        <f>IFERROR('Raw Data'!I5/'Raw Data'!D5,"")</f>
        <v>0.41772880636104098</v>
      </c>
      <c r="E5" s="7">
        <f>IFERROR('Raw Data'!J5/'Raw Data'!D5,"")</f>
        <v>0.34146237878394642</v>
      </c>
      <c r="F5" s="7">
        <f>IFERROR('Raw Data'!J5/'Raw Data'!Q5,"")</f>
        <v>0.35088714643856406</v>
      </c>
      <c r="G5" s="7">
        <f>IFERROR('Raw Data'!J5/'Raw Data'!N5,"")</f>
        <v>0.175643726819038</v>
      </c>
      <c r="H5" s="8">
        <f>IFERROR('Raw Data'!M5/'Raw Data'!O5,"")</f>
        <v>1.7691672507657299</v>
      </c>
      <c r="I5" s="9">
        <f>IFERROR('Raw Data'!P5/'Raw Data'!Q5,"")</f>
        <v>0.99772091376810546</v>
      </c>
      <c r="J5" s="10">
        <f>IFERROR('Raw Data'!R5-'Raw Data'!S5,"")</f>
        <v>59475</v>
      </c>
      <c r="K5" s="7">
        <f>IFERROR(('Raw Data'!D5-'Raw Data'!T5)/'Raw Data'!T5,"")</f>
        <v>6.8820295556564284E-2</v>
      </c>
    </row>
    <row r="6" spans="1:11" x14ac:dyDescent="0.25">
      <c r="A6" s="6" t="str">
        <f>'Raw Data'!A6</f>
        <v>Microsoft</v>
      </c>
      <c r="B6" s="2" t="str">
        <f>'Raw Data'!B6</f>
        <v>FY2024</v>
      </c>
      <c r="C6" s="7">
        <f>IFERROR('Raw Data'!E6/'Raw Data'!D6,"")</f>
        <v>0.69764443827971379</v>
      </c>
      <c r="D6" s="7">
        <f>IFERROR('Raw Data'!I6/'Raw Data'!D6,"")</f>
        <v>0.44644299573273716</v>
      </c>
      <c r="E6" s="7">
        <f>IFERROR('Raw Data'!J6/'Raw Data'!D6,"")</f>
        <v>0.35955972944084985</v>
      </c>
      <c r="F6" s="7">
        <f>IFERROR('Raw Data'!J6/'Raw Data'!Q6,"")</f>
        <v>0.32828137978299815</v>
      </c>
      <c r="G6" s="7">
        <f>IFERROR('Raw Data'!J6/'Raw Data'!N6,"")</f>
        <v>0.17208583985957596</v>
      </c>
      <c r="H6" s="8">
        <f>IFERROR('Raw Data'!M6/'Raw Data'!O6,"")</f>
        <v>1.2749549031815206</v>
      </c>
      <c r="I6" s="9">
        <f>IFERROR('Raw Data'!P6/'Raw Data'!Q6,"")</f>
        <v>0.90766061897294736</v>
      </c>
      <c r="J6" s="10">
        <f>IFERROR('Raw Data'!R6-'Raw Data'!S6,"")</f>
        <v>74071</v>
      </c>
      <c r="K6" s="7">
        <f>IFERROR(('Raw Data'!D6-'Raw Data'!T6)/'Raw Data'!T6,"")</f>
        <v>0.15669962013071279</v>
      </c>
    </row>
    <row r="7" spans="1:11" x14ac:dyDescent="0.25">
      <c r="A7" s="6" t="str">
        <f>'Raw Data'!A7</f>
        <v>Microsoft</v>
      </c>
      <c r="B7" s="2" t="str">
        <f>'Raw Data'!B7</f>
        <v>FY2025</v>
      </c>
      <c r="C7" s="7">
        <f>IFERROR('Raw Data'!E7/'Raw Data'!D7,"")</f>
        <v>0.68823742386165188</v>
      </c>
      <c r="D7" s="7">
        <f>IFERROR('Raw Data'!I7/'Raw Data'!D7,"")</f>
        <v>0.45621956240859851</v>
      </c>
      <c r="E7" s="7">
        <f>IFERROR('Raw Data'!J7/'Raw Data'!D7,"")</f>
        <v>0.36146015248967073</v>
      </c>
      <c r="F7" s="7">
        <f>IFERROR('Raw Data'!J7/'Raw Data'!Q7,"")</f>
        <v>0.29647227341409521</v>
      </c>
      <c r="G7" s="7">
        <f>IFERROR('Raw Data'!J7/'Raw Data'!N7,"")</f>
        <v>0.16450970350709124</v>
      </c>
      <c r="H7" s="8">
        <f>IFERROR('Raw Data'!M7/'Raw Data'!O7,"")</f>
        <v>1.3534464445042416</v>
      </c>
      <c r="I7" s="9">
        <f>IFERROR('Raw Data'!P7/'Raw Data'!Q7,"")</f>
        <v>0.80215675485255289</v>
      </c>
      <c r="J7" s="10">
        <f>IFERROR('Raw Data'!R7-'Raw Data'!S7,"")</f>
        <v>71611</v>
      </c>
      <c r="K7" s="7">
        <f>IFERROR(('Raw Data'!D7-'Raw Data'!T7)/'Raw Data'!T7,"")</f>
        <v>0.14932156232406721</v>
      </c>
    </row>
    <row r="8" spans="1:11" x14ac:dyDescent="0.25">
      <c r="A8" s="6" t="str">
        <f>'Raw Data'!A8</f>
        <v>Tesla</v>
      </c>
      <c r="B8" s="2" t="str">
        <f>'Raw Data'!B8</f>
        <v>FY2023</v>
      </c>
      <c r="C8" s="7">
        <f>IFERROR('Raw Data'!E8/'Raw Data'!D8,"")</f>
        <v>0.18248891736331416</v>
      </c>
      <c r="D8" s="7">
        <f>IFERROR('Raw Data'!I8/'Raw Data'!D8,"")</f>
        <v>9.1874799789197395E-2</v>
      </c>
      <c r="E8" s="7">
        <f>IFERROR('Raw Data'!J8/'Raw Data'!D8,"")</f>
        <v>0.1547332417099811</v>
      </c>
      <c r="F8" s="7">
        <f>IFERROR('Raw Data'!J8/'Raw Data'!Q8,"")</f>
        <v>0.23907143085225277</v>
      </c>
      <c r="G8" s="7">
        <f>IFERROR('Raw Data'!J8/'Raw Data'!N8,"")</f>
        <v>0.14044532818098257</v>
      </c>
      <c r="H8" s="8">
        <f>IFERROR('Raw Data'!M8/'Raw Data'!O8,"")</f>
        <v>1.7258939752330598</v>
      </c>
      <c r="I8" s="9">
        <f>IFERROR('Raw Data'!P8/'Raw Data'!Q8,"")</f>
        <v>0.68667177571287163</v>
      </c>
      <c r="J8" s="10">
        <f>IFERROR('Raw Data'!R8-'Raw Data'!S8,"")</f>
        <v>4358</v>
      </c>
      <c r="K8" s="7">
        <f>IFERROR(('Raw Data'!D8-'Raw Data'!T8)/'Raw Data'!T8,"")</f>
        <v>0.18795266504627925</v>
      </c>
    </row>
    <row r="9" spans="1:11" x14ac:dyDescent="0.25">
      <c r="A9" s="6" t="str">
        <f>'Raw Data'!A9</f>
        <v>Tesla</v>
      </c>
      <c r="B9" s="2" t="str">
        <f>'Raw Data'!B9</f>
        <v>FY2024</v>
      </c>
      <c r="C9" s="7">
        <f>IFERROR('Raw Data'!E9/'Raw Data'!D9,"")</f>
        <v>0.17862626676220697</v>
      </c>
      <c r="D9" s="7">
        <f>IFERROR('Raw Data'!I9/'Raw Data'!D9,"")</f>
        <v>7.2433207083631893E-2</v>
      </c>
      <c r="E9" s="7">
        <f>IFERROR('Raw Data'!J9/'Raw Data'!D9,"")</f>
        <v>7.322141467908691E-2</v>
      </c>
      <c r="F9" s="7">
        <f>IFERROR('Raw Data'!J9/'Raw Data'!Q9,"")</f>
        <v>9.8103218904722067E-2</v>
      </c>
      <c r="G9" s="7">
        <f>IFERROR('Raw Data'!J9/'Raw Data'!N9,"")</f>
        <v>5.8597526009666584E-2</v>
      </c>
      <c r="H9" s="8">
        <f>IFERROR('Raw Data'!M9/'Raw Data'!O9,"")</f>
        <v>2.0249123902709831</v>
      </c>
      <c r="I9" s="9">
        <f>IFERROR('Raw Data'!P9/'Raw Data'!Q9,"")</f>
        <v>0.66366765871655264</v>
      </c>
      <c r="J9" s="10">
        <f>IFERROR('Raw Data'!R9-'Raw Data'!S9,"")</f>
        <v>3581</v>
      </c>
      <c r="K9" s="7">
        <f>IFERROR(('Raw Data'!D9-'Raw Data'!T9)/'Raw Data'!T9,"")</f>
        <v>9.4757835346635944E-3</v>
      </c>
    </row>
    <row r="10" spans="1:11" x14ac:dyDescent="0.25">
      <c r="A10" s="6" t="str">
        <f>'Raw Data'!A10</f>
        <v>Tesla</v>
      </c>
      <c r="B10" s="2" t="str">
        <f>'Raw Data'!B10</f>
        <v>FY2025</v>
      </c>
      <c r="C10" s="7">
        <f>IFERROR('Raw Data'!E10/'Raw Data'!D10,"")</f>
        <v>0.18026511436616155</v>
      </c>
      <c r="D10" s="7">
        <f>IFERROR('Raw Data'!I10/'Raw Data'!D10,"")</f>
        <v>4.5925738450019508E-2</v>
      </c>
      <c r="E10" s="7">
        <f>IFERROR('Raw Data'!J10/'Raw Data'!D10,"")</f>
        <v>4.0652978582049415E-2</v>
      </c>
      <c r="F10" s="7">
        <f>IFERROR('Raw Data'!J10/'Raw Data'!Q10,"")</f>
        <v>4.693378136527996E-2</v>
      </c>
      <c r="G10" s="7">
        <f>IFERROR('Raw Data'!J10/'Raw Data'!N10,"")</f>
        <v>2.7974108529381883E-2</v>
      </c>
      <c r="H10" s="8">
        <f>IFERROR('Raw Data'!M10/'Raw Data'!O10,"")</f>
        <v>2.1644068865485275</v>
      </c>
      <c r="I10" s="9">
        <f>IFERROR('Raw Data'!P10/'Raw Data'!Q10,"")</f>
        <v>0.66889465161863715</v>
      </c>
      <c r="J10" s="10">
        <f>IFERROR('Raw Data'!R10-'Raw Data'!S10,"")</f>
        <v>6220</v>
      </c>
      <c r="K10" s="7">
        <f>IFERROR(('Raw Data'!D10-'Raw Data'!T10)/'Raw Data'!T10,"")</f>
        <v>-2.9306991503736307E-2</v>
      </c>
    </row>
    <row r="13" spans="1:11" x14ac:dyDescent="0.25">
      <c r="A13" s="11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Raw Data</vt:lpstr>
      <vt:lpstr>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olorunfemi Jegede</cp:lastModifiedBy>
  <cp:revision>0</cp:revision>
  <dcterms:created xsi:type="dcterms:W3CDTF">2026-08-03T22:12:54Z</dcterms:created>
  <dcterms:modified xsi:type="dcterms:W3CDTF">2026-08-04T16:25:47Z</dcterms:modified>
  <dc:language>en-US</dc:language>
</cp:coreProperties>
</file>